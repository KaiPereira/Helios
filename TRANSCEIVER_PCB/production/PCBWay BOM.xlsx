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<sst xmlns="http://schemas.openxmlformats.org/spreadsheetml/2006/main" count="540" uniqueCount="267">
  <si>
    <t>PCBWay Bom Quotation, Product No.:T-1K3W971089A</t>
  </si>
  <si>
    <t>Item #</t>
  </si>
  <si>
    <r>
      <rPr>
        <rFont val="Arial"/>
        <b val="0"/>
        <color rgb="FFFF0000"/>
        <sz val="10.0"/>
      </rPr>
      <t>*</t>
    </r>
    <r>
      <rPr>
        <rFont val="Arial"/>
        <b/>
        <color theme="1"/>
        <sz val="10.0"/>
      </rPr>
      <t>Designator</t>
    </r>
  </si>
  <si>
    <r>
      <rPr>
        <rFont val="Arial"/>
        <b val="0"/>
        <color rgb="FFFF0000"/>
        <sz val="10.0"/>
      </rPr>
      <t>*</t>
    </r>
    <r>
      <rPr>
        <rFont val="Arial"/>
        <b/>
        <color theme="1"/>
        <sz val="10.0"/>
      </rPr>
      <t>Qty</t>
    </r>
  </si>
  <si>
    <t>Manufacturer</t>
  </si>
  <si>
    <r>
      <rPr>
        <rFont val="Arial"/>
        <b val="0"/>
        <color rgb="FFFF0000"/>
        <sz val="10.0"/>
      </rPr>
      <t>*</t>
    </r>
    <r>
      <rPr>
        <rFont val="Arial"/>
        <b/>
        <color theme="1"/>
        <sz val="10.0"/>
      </rPr>
      <t>Mfg Part #</t>
    </r>
  </si>
  <si>
    <t>Description / Value</t>
  </si>
  <si>
    <t>Vendor Part #</t>
  </si>
  <si>
    <r>
      <rPr>
        <rFont val="Arial"/>
        <b val="0"/>
        <color rgb="FFFF0000"/>
        <sz val="10.0"/>
      </rPr>
      <t>*</t>
    </r>
    <r>
      <rPr>
        <rFont val="Arial"/>
        <b/>
        <color theme="1"/>
        <sz val="10.0"/>
      </rPr>
      <t>Package/Footprint</t>
    </r>
  </si>
  <si>
    <r>
      <rPr>
        <rFont val="Arial"/>
        <b val="0"/>
        <color rgb="FFFF0000"/>
        <sz val="10.0"/>
      </rPr>
      <t>*</t>
    </r>
    <r>
      <rPr>
        <rFont val="Arial"/>
        <b/>
        <color theme="1"/>
        <sz val="10.0"/>
      </rPr>
      <t>Unit Price(5 units)</t>
    </r>
  </si>
  <si>
    <r>
      <rPr>
        <rFont val="Arial"/>
        <b val="0"/>
        <color rgb="FFFF0000"/>
        <sz val="10.0"/>
      </rPr>
      <t>*</t>
    </r>
    <r>
      <rPr>
        <rFont val="Arial"/>
        <b/>
        <color theme="1"/>
        <sz val="10.0"/>
      </rPr>
      <t>Total</t>
    </r>
  </si>
  <si>
    <r>
      <rPr>
        <rFont val="Arial"/>
        <b val="0"/>
        <color rgb="FFFF0000"/>
        <sz val="10.0"/>
      </rPr>
      <t>*</t>
    </r>
    <r>
      <rPr>
        <rFont val="Arial"/>
        <b/>
        <color theme="1"/>
        <sz val="10.0"/>
      </rPr>
      <t>Delivery Time</t>
    </r>
  </si>
  <si>
    <r>
      <rPr>
        <rFont val="Arial"/>
        <b val="0"/>
        <color rgb="FFFF0000"/>
        <sz val="10.0"/>
      </rPr>
      <t>*</t>
    </r>
    <r>
      <rPr>
        <rFont val="Arial"/>
        <b/>
        <color theme="1"/>
        <sz val="10.0"/>
      </rPr>
      <t>PCBWay Note</t>
    </r>
  </si>
  <si>
    <t>Customer Reply</t>
  </si>
  <si>
    <t>PCBWay Update</t>
  </si>
  <si>
    <t>C1, C17, C18</t>
  </si>
  <si>
    <t>Samsung Electro-Mechanics</t>
  </si>
  <si>
    <t>CL10B105MO8NNWC</t>
  </si>
  <si>
    <t>1uF</t>
  </si>
  <si>
    <t>1276-6524-1-ND</t>
  </si>
  <si>
    <t>603</t>
  </si>
  <si>
    <t/>
  </si>
  <si>
    <t>C10</t>
  </si>
  <si>
    <t>KEMET</t>
  </si>
  <si>
    <t>C0402C103K3REC7411</t>
  </si>
  <si>
    <t>10nF</t>
  </si>
  <si>
    <t>399-C0402C103K3REC7411CT-ND</t>
  </si>
  <si>
    <t>402</t>
  </si>
  <si>
    <t>C11, C13, C19, C2, C20, C29, C30, C31, C32, C4, C5, C6, C7, C8</t>
  </si>
  <si>
    <t>Murata Electronics</t>
  </si>
  <si>
    <t>GRM155R71H104KE14J</t>
  </si>
  <si>
    <t>0.1uF</t>
  </si>
  <si>
    <t>490-13342-1-ND</t>
  </si>
  <si>
    <t>C12, C14, C3</t>
  </si>
  <si>
    <t>CL21A475KAQNNNE</t>
  </si>
  <si>
    <t>4.7uF</t>
  </si>
  <si>
    <t>1276-1244-1-ND</t>
  </si>
  <si>
    <t>805</t>
  </si>
  <si>
    <t>C15, C16</t>
  </si>
  <si>
    <t>GJM1555C1H180GB01D</t>
  </si>
  <si>
    <t>18pF</t>
  </si>
  <si>
    <t>490-8082-1-ND</t>
  </si>
  <si>
    <t>C21</t>
  </si>
  <si>
    <t>CL10B474KO8VPJC</t>
  </si>
  <si>
    <t>470nF</t>
  </si>
  <si>
    <t>1276-CL10B474KO8VPJCCT-ND</t>
  </si>
  <si>
    <t>C22</t>
  </si>
  <si>
    <t>C0402C102K5RECTU</t>
  </si>
  <si>
    <t>1nF</t>
  </si>
  <si>
    <t>399-C0402C102K5RECTUCT-ND</t>
  </si>
  <si>
    <t>C23</t>
  </si>
  <si>
    <t>GRM1555C1H390JA01D</t>
  </si>
  <si>
    <t>39pF</t>
  </si>
  <si>
    <t>490-5871-1-ND</t>
  </si>
  <si>
    <t>7-10 Workdays</t>
  </si>
  <si>
    <t>C24, C25</t>
  </si>
  <si>
    <t>GRM1555C2A3R3CA01D</t>
  </si>
  <si>
    <t>3.3pF</t>
  </si>
  <si>
    <t>490-7287-1-ND</t>
  </si>
  <si>
    <t>C26</t>
  </si>
  <si>
    <t>C0603C473K4RECAUTO</t>
  </si>
  <si>
    <t>47nF</t>
  </si>
  <si>
    <t>399-17881-1-ND</t>
  </si>
  <si>
    <t>C27</t>
  </si>
  <si>
    <t>YAGEO</t>
  </si>
  <si>
    <t>CC0402JRNPO9BN470</t>
  </si>
  <si>
    <t>47pF</t>
  </si>
  <si>
    <t>311-1021-1-ND</t>
  </si>
  <si>
    <t>C28, C33</t>
  </si>
  <si>
    <t>CL05C080DB51PNC</t>
  </si>
  <si>
    <t>8pF</t>
  </si>
  <si>
    <t>1276-CL05C080DB51PNCCT-ND</t>
  </si>
  <si>
    <t>C9</t>
  </si>
  <si>
    <t>Panasonic Industry</t>
  </si>
  <si>
    <t>EEH-ZC1V470P</t>
  </si>
  <si>
    <t>47uF</t>
  </si>
  <si>
    <t>P15473CT-ND</t>
  </si>
  <si>
    <t>C_Elec_6.3x5.4</t>
  </si>
  <si>
    <t>D1, D2, D3, D5</t>
  </si>
  <si>
    <t>Shenzhen Slkormicro Semicon Co., Ltd.</t>
  </si>
  <si>
    <t>1N5819WS</t>
  </si>
  <si>
    <t>5399-1N5819WSCT-ND</t>
  </si>
  <si>
    <t>D_SOD-323</t>
  </si>
  <si>
    <t>D4</t>
  </si>
  <si>
    <t>Würth Elektronik</t>
  </si>
  <si>
    <t>150060VS75003</t>
  </si>
  <si>
    <t>LED</t>
  </si>
  <si>
    <t>732-150060VS75003CT-ND</t>
  </si>
  <si>
    <t>FB1, FB2</t>
  </si>
  <si>
    <t>Shenzhen Sunlord Electronics Co., Ltd.</t>
  </si>
  <si>
    <t>GZ1608E601TF</t>
  </si>
  <si>
    <t>GZ1608D601TF</t>
  </si>
  <si>
    <t>3442-GZ1608E601TFCT-ND</t>
  </si>
  <si>
    <t>FL1</t>
  </si>
  <si>
    <t>Johanson Technology Inc.</t>
  </si>
  <si>
    <t>0900FM15K0039001E</t>
  </si>
  <si>
    <t>0900FM15K0039E</t>
  </si>
  <si>
    <t>712-0900FM15K0039001ECT-ND</t>
  </si>
  <si>
    <t>Balun_Johanson_0900FM15K0039</t>
  </si>
  <si>
    <t>J1</t>
  </si>
  <si>
    <t>GCT</t>
  </si>
  <si>
    <t>USB4105-GF-A-120</t>
  </si>
  <si>
    <t>USB_C_Receptacle_USB2.0_16P</t>
  </si>
  <si>
    <t>2073-USB4105-GF-A-120CT-ND</t>
  </si>
  <si>
    <t>USB_C_Receptacle_HRO_TYPE-C-31-M-12</t>
  </si>
  <si>
    <t>J2</t>
  </si>
  <si>
    <t>Amphenol Anytek</t>
  </si>
  <si>
    <t>YO0201500000G</t>
  </si>
  <si>
    <t>Screw_Terminal_01x02</t>
  </si>
  <si>
    <t>609-4725-ND</t>
  </si>
  <si>
    <t>TerminalBlock_Phoenix_PT-1,5-2-3.5-H_1x02_P3.50mm_Horizontal</t>
  </si>
  <si>
    <t>J3</t>
  </si>
  <si>
    <t>JST Sales America Inc.</t>
  </si>
  <si>
    <t>B2B-PH-K-S</t>
  </si>
  <si>
    <t>Conn_01x02</t>
  </si>
  <si>
    <t>455-1704-ND</t>
  </si>
  <si>
    <t>JST_PH_B2B-PH-K_1x02_P2.00mm_Vertical</t>
  </si>
  <si>
    <t>J4</t>
  </si>
  <si>
    <t>Molex</t>
  </si>
  <si>
    <t>0732511153</t>
  </si>
  <si>
    <t>LoRa Antenna</t>
  </si>
  <si>
    <t>900-0732511153-ND</t>
  </si>
  <si>
    <t>SMA_Molex_73251-1153_EdgeMount_Horizontal</t>
  </si>
  <si>
    <t>J6</t>
  </si>
  <si>
    <t>61304021121</t>
  </si>
  <si>
    <t>Conn_02x20_Odd_Even</t>
  </si>
  <si>
    <t>732-5310-ND</t>
  </si>
  <si>
    <t>PinHeader_2x20_P2.54mm_Vertical</t>
  </si>
  <si>
    <t>L1</t>
  </si>
  <si>
    <t>MWSA0402S-220MT</t>
  </si>
  <si>
    <t>22uH</t>
  </si>
  <si>
    <t>3442-MWSA0402S-220MTCT-ND</t>
  </si>
  <si>
    <t>L_Sunlord_MWSA0402S</t>
  </si>
  <si>
    <t>L2</t>
  </si>
  <si>
    <t>TDK</t>
  </si>
  <si>
    <t>MLZ2012M150WT000</t>
  </si>
  <si>
    <t>15uH</t>
  </si>
  <si>
    <t>445-6397-1-ND</t>
  </si>
  <si>
    <t>L_TDK_MLZ2012_h1.25mm</t>
  </si>
  <si>
    <t>L3</t>
  </si>
  <si>
    <t>LQW15AN9N1G0ZD</t>
  </si>
  <si>
    <t>9.1nH</t>
  </si>
  <si>
    <t>490-LQW15AN9N1G0ZDCT-ND</t>
  </si>
  <si>
    <t>L4</t>
  </si>
  <si>
    <t>LQW18AN47NJ00D</t>
  </si>
  <si>
    <t>47nH</t>
  </si>
  <si>
    <t>490-6895-1-ND</t>
  </si>
  <si>
    <t>R1, R11, R12</t>
  </si>
  <si>
    <t>RC0402FR-0710KL</t>
  </si>
  <si>
    <t>10K</t>
  </si>
  <si>
    <t>311-10.0KLRCT-ND</t>
  </si>
  <si>
    <t>R10</t>
  </si>
  <si>
    <t>RC0402FR-07100RL</t>
  </si>
  <si>
    <t>100</t>
  </si>
  <si>
    <t>311-100LRCT-ND</t>
  </si>
  <si>
    <t>R15, R2, R3</t>
  </si>
  <si>
    <t>RC0402FR-075K1L</t>
  </si>
  <si>
    <t>5.1k</t>
  </si>
  <si>
    <t>311-5.10KLRCT-ND</t>
  </si>
  <si>
    <t>R4</t>
  </si>
  <si>
    <t>Stackpole Electronics Inc</t>
  </si>
  <si>
    <t>RMCF0603FT10M0</t>
  </si>
  <si>
    <t>10M</t>
  </si>
  <si>
    <t>RMCF0603FT10M0CT-ND</t>
  </si>
  <si>
    <t>R5</t>
  </si>
  <si>
    <t>RC0402FR-071ML</t>
  </si>
  <si>
    <t>1M</t>
  </si>
  <si>
    <t>311-1.00MLRCT-ND</t>
  </si>
  <si>
    <t>R6</t>
  </si>
  <si>
    <t>ERJ-2GEJ565X</t>
  </si>
  <si>
    <t>5.6M</t>
  </si>
  <si>
    <t>P5.6MJCT-ND</t>
  </si>
  <si>
    <t>R7</t>
  </si>
  <si>
    <t>RC0402FR-076M2L</t>
  </si>
  <si>
    <t>6.2M</t>
  </si>
  <si>
    <t>13-RC0402FR-076M2LCT-ND</t>
  </si>
  <si>
    <t>R8</t>
  </si>
  <si>
    <t>RC0603JR-07510KL</t>
  </si>
  <si>
    <t>510K</t>
  </si>
  <si>
    <t>311-510KGRCT-ND</t>
  </si>
  <si>
    <t>R9</t>
  </si>
  <si>
    <t>RC0402FR-072M7L</t>
  </si>
  <si>
    <t>2.7M</t>
  </si>
  <si>
    <t>13-RC0402FR-072M7LCT-ND</t>
  </si>
  <si>
    <t>SW1, SW2</t>
  </si>
  <si>
    <t>Alps Alpine</t>
  </si>
  <si>
    <t>SKRPACE010</t>
  </si>
  <si>
    <t>4809-SKRPACE010CT-ND</t>
  </si>
  <si>
    <t>SW_Push_SPST_NO_Alps_SKRK</t>
  </si>
  <si>
    <t>TP1, TP2, TP3, TP4, TP5, TP6, TP7, TP8</t>
  </si>
  <si>
    <t>TestPoint</t>
  </si>
  <si>
    <t>TestPoint_Pad_D1.5mm</t>
  </si>
  <si>
    <r>
      <rPr>
        <rFont val="Arial"/>
        <color theme="1"/>
        <sz val="10.0"/>
      </rPr>
      <t>[DNP</t>
    </r>
    <r>
      <rPr>
        <rFont val="宋体"/>
        <color theme="1"/>
        <sz val="10.0"/>
      </rPr>
      <t xml:space="preserve"> </t>
    </r>
    <r>
      <rPr>
        <rFont val="Arial"/>
        <color theme="1"/>
        <sz val="10.0"/>
      </rPr>
      <t>];</t>
    </r>
  </si>
  <si>
    <t>TP9</t>
  </si>
  <si>
    <t>Charging TP</t>
  </si>
  <si>
    <r>
      <rPr>
        <rFont val="Arial"/>
        <color theme="1"/>
        <sz val="10.0"/>
      </rPr>
      <t>[DNP</t>
    </r>
    <r>
      <rPr>
        <rFont val="宋体"/>
        <color theme="1"/>
        <sz val="10.0"/>
      </rPr>
      <t xml:space="preserve"> </t>
    </r>
    <r>
      <rPr>
        <rFont val="Arial"/>
        <color theme="1"/>
        <sz val="10.0"/>
      </rPr>
      <t>];</t>
    </r>
  </si>
  <si>
    <t>U1</t>
  </si>
  <si>
    <t>STMicroelectronics</t>
  </si>
  <si>
    <t>STM32L072CBT6</t>
  </si>
  <si>
    <t>497-17503-ND</t>
  </si>
  <si>
    <t>LQFP-48_7x7mm_P0.5mm</t>
  </si>
  <si>
    <t>U3</t>
  </si>
  <si>
    <t>SPV1050TTR</t>
  </si>
  <si>
    <t>497-15978-1-ND</t>
  </si>
  <si>
    <t>WQFN-20-1EP_3x3mm_P0.4mm_EP1.7x1.7mm</t>
  </si>
  <si>
    <t>U4</t>
  </si>
  <si>
    <t>Semtech Corporation</t>
  </si>
  <si>
    <t>SX1262IMLTRT</t>
  </si>
  <si>
    <t>SX1262IMLTRTCT-ND</t>
  </si>
  <si>
    <t>QFN-24-1EP_4x4mm_P0.5mm_EP2.6x2.6mm</t>
  </si>
  <si>
    <t>U5</t>
  </si>
  <si>
    <t>Torex Semiconductor Ltd</t>
  </si>
  <si>
    <t>XC6206P332MR-G</t>
  </si>
  <si>
    <t>893-XC6206P332MR-GCT-ND</t>
  </si>
  <si>
    <t>SOT-23-3</t>
  </si>
  <si>
    <t>U6</t>
  </si>
  <si>
    <t>pSemi</t>
  </si>
  <si>
    <t>4259-63</t>
  </si>
  <si>
    <t>PE4259-63</t>
  </si>
  <si>
    <t>1046-1011-1-ND</t>
  </si>
  <si>
    <t>SOT-363_SC-70-6</t>
  </si>
  <si>
    <t>U8</t>
  </si>
  <si>
    <t>Rohm Semiconductor</t>
  </si>
  <si>
    <t>BH1750FVI-TR</t>
  </si>
  <si>
    <t>BH1750FVI</t>
  </si>
  <si>
    <t>BH1750FVICT-ND</t>
  </si>
  <si>
    <t>WSOF-6_L2.6-W1.6-P0.50-TL-EP</t>
  </si>
  <si>
    <t>U9</t>
  </si>
  <si>
    <t>Bosch Sensortec</t>
  </si>
  <si>
    <t>BME280</t>
  </si>
  <si>
    <t>828-1063-1-ND</t>
  </si>
  <si>
    <t>Bosch_LGA-8_2.5x2.5mm_P0.65mm_ClockwisePinNumbering</t>
  </si>
  <si>
    <t>Y1</t>
  </si>
  <si>
    <t>EPSON</t>
  </si>
  <si>
    <t>FC-135 32.7680KA-A5</t>
  </si>
  <si>
    <t>32.768 kHz</t>
  </si>
  <si>
    <t>SER4103CT-ND</t>
  </si>
  <si>
    <t>Crystal_SMD_3215-2Pin_3.2x1.5mm</t>
  </si>
  <si>
    <t>Y2</t>
  </si>
  <si>
    <t>ECS Inc.</t>
  </si>
  <si>
    <t>ECS-320-8-37B-CKY-TR</t>
  </si>
  <si>
    <t>32MHz</t>
  </si>
  <si>
    <t>50-ECS-320-8-37B-CKY-TRCT-ND</t>
  </si>
  <si>
    <t>Crystal_SMD_2016-4Pin_2.0x1.6mm</t>
  </si>
  <si>
    <t>2161960001</t>
  </si>
  <si>
    <t>BIG ANTENNNNAAA</t>
  </si>
  <si>
    <t>900-2161960001-ND</t>
  </si>
  <si>
    <t>LoRa SMA Molex Antenna</t>
  </si>
  <si>
    <t>900-2161960001-ND
 (the SMA Molex Antenna) screwed onto the SMA connector (900-0732511153-ND)</t>
  </si>
  <si>
    <t>PHR-2</t>
  </si>
  <si>
    <t>455-1165-ND</t>
  </si>
  <si>
    <t>JST PHR connector (for battery I chose)</t>
  </si>
  <si>
    <r>
      <rPr>
        <rFont val="Arial"/>
        <color theme="1"/>
        <sz val="10.0"/>
      </rPr>
      <t>[DNP</t>
    </r>
    <r>
      <rPr>
        <rFont val="宋体"/>
        <color theme="1"/>
        <sz val="10.0"/>
      </rPr>
      <t xml:space="preserve"> </t>
    </r>
    <r>
      <rPr>
        <rFont val="Arial"/>
        <color theme="1"/>
        <sz val="10.0"/>
      </rPr>
      <t>];</t>
    </r>
  </si>
  <si>
    <t>BPH-002T-P0.5S</t>
  </si>
  <si>
    <t>455-BPH-002T-P0.5S-ND</t>
  </si>
  <si>
    <t>JST PHR metal contacts (for PHR connector)</t>
  </si>
  <si>
    <r>
      <rPr>
        <rFont val="Arial"/>
        <color theme="1"/>
        <sz val="10.0"/>
      </rPr>
      <t>[DNP</t>
    </r>
    <r>
      <rPr>
        <rFont val="宋体"/>
        <color theme="1"/>
        <sz val="10.0"/>
      </rPr>
      <t xml:space="preserve"> </t>
    </r>
    <r>
      <rPr>
        <rFont val="Arial"/>
        <color theme="1"/>
        <sz val="10.0"/>
      </rPr>
      <t>];</t>
    </r>
  </si>
  <si>
    <t>E-Z LOK</t>
  </si>
  <si>
    <t>HI-002-WH</t>
  </si>
  <si>
    <t>5519-HI-002-WH-ND</t>
  </si>
  <si>
    <t>Heatset Inserts</t>
  </si>
  <si>
    <r>
      <rPr>
        <rFont val="Arial"/>
        <color theme="1"/>
        <sz val="10.0"/>
      </rPr>
      <t>[DNP</t>
    </r>
    <r>
      <rPr>
        <rFont val="宋体"/>
        <color theme="1"/>
        <sz val="10.0"/>
      </rPr>
      <t xml:space="preserve"> </t>
    </r>
    <r>
      <rPr>
        <rFont val="Arial"/>
        <color theme="1"/>
        <sz val="10.0"/>
      </rPr>
      <t>];</t>
    </r>
  </si>
  <si>
    <t>Component Cost</t>
  </si>
  <si>
    <t>Assembly Cost</t>
  </si>
  <si>
    <t>PCB Cost</t>
  </si>
  <si>
    <t>V1 Member 1% off</t>
  </si>
  <si>
    <t>All Total 5 Units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</si>
</sst>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0.000"/>
    <numFmt numFmtId="165" formatCode="\$0.00"/>
  </numFmts>
  <fonts count="8">
    <font>
      <sz val="12.0"/>
      <color rgb="FF000000"/>
      <name val="SimSun"/>
      <scheme val="minor"/>
    </font>
    <font>
      <b/>
      <sz val="11.0"/>
      <color theme="1"/>
      <name val="Arial"/>
    </font>
    <font/>
    <font>
      <sz val="12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theme="1"/>
      <name val="SimSun"/>
    </font>
    <font>
      <b/>
      <sz val="10.0"/>
      <color rgb="FFFF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0"/>
    </xf>
    <xf borderId="4" fillId="3" fontId="4" numFmtId="0" xfId="0" applyAlignment="1" applyBorder="1" applyFill="1" applyFont="1">
      <alignment horizontal="center" shrinkToFit="0" vertical="center" wrapText="0"/>
    </xf>
    <xf borderId="4" fillId="4" fontId="4" numFmtId="0" xfId="0" applyAlignment="1" applyBorder="1" applyFill="1" applyFont="1">
      <alignment horizontal="center" shrinkToFit="0" vertical="center" wrapText="0"/>
    </xf>
    <xf borderId="4" fillId="0" fontId="5" numFmtId="0" xfId="0" applyAlignment="1" applyBorder="1" applyFont="1">
      <alignment shrinkToFit="0" vertical="center" wrapText="0"/>
    </xf>
    <xf borderId="4" fillId="0" fontId="5" numFmtId="0" xfId="0" applyAlignment="1" applyBorder="1" applyFont="1">
      <alignment shrinkToFit="0" vertical="center" wrapText="1"/>
    </xf>
    <xf borderId="4" fillId="0" fontId="5" numFmtId="164" xfId="0" applyAlignment="1" applyBorder="1" applyFont="1" applyNumberFormat="1">
      <alignment shrinkToFit="0" vertical="center" wrapText="0"/>
    </xf>
    <xf borderId="4" fillId="5" fontId="5" numFmtId="0" xfId="0" applyAlignment="1" applyBorder="1" applyFill="1" applyFont="1">
      <alignment shrinkToFit="0" vertical="center" wrapText="1"/>
    </xf>
    <xf borderId="4" fillId="0" fontId="6" numFmtId="0" xfId="0" applyAlignment="1" applyBorder="1" applyFont="1">
      <alignment shrinkToFit="0" vertical="center" wrapText="1"/>
    </xf>
    <xf borderId="4" fillId="4" fontId="5" numFmtId="0" xfId="0" applyAlignment="1" applyBorder="1" applyFont="1">
      <alignment shrinkToFit="0" vertical="center" wrapText="1"/>
    </xf>
    <xf borderId="4" fillId="0" fontId="7" numFmtId="165" xfId="0" applyAlignment="1" applyBorder="1" applyFont="1" applyNumberFormat="1">
      <alignment horizontal="right" shrinkToFit="0" vertical="center" wrapText="0"/>
    </xf>
    <xf borderId="0" fillId="0" fontId="3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66675</xdr:rowOff>
    </xdr:from>
    <xdr:ext cx="1504950" cy="371475"/>
    <xdr:pic>
      <xdr:nvPicPr>
        <xdr:cNvPr descr="pcbway-400x400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SimSun"/>
        <a:ea typeface="SimSun"/>
        <a:cs typeface="SimSun"/>
      </a:majorFont>
      <a:minorFont>
        <a:latin typeface="SimSun"/>
        <a:ea typeface="SimSun"/>
        <a:cs typeface="SimSu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22"/>
    <col customWidth="1" min="2" max="2" width="10.22"/>
    <col customWidth="1" min="3" max="3" width="5.33"/>
    <col customWidth="1" min="4" max="4" width="12.11"/>
    <col customWidth="1" min="5" max="5" width="18.33"/>
    <col customWidth="1" min="6" max="6" width="50.0"/>
    <col customWidth="1" min="7" max="7" width="20.22"/>
    <col customWidth="1" min="8" max="8" width="26.33"/>
    <col customWidth="1" min="9" max="9" width="18.0"/>
    <col customWidth="1" min="10" max="10" width="12.0"/>
    <col customWidth="1" min="11" max="11" width="16.0"/>
    <col customWidth="1" min="12" max="12" width="14.0"/>
    <col customWidth="1" min="13" max="13" width="16.78"/>
    <col customWidth="1" min="14" max="14" width="14.0"/>
    <col customWidth="1" min="15" max="15" width="19.78"/>
    <col customWidth="1" min="16" max="16" width="20.67"/>
    <col customWidth="1" min="17" max="34" width="9.0"/>
  </cols>
  <sheetData>
    <row r="1" ht="3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ht="25.5" customHeight="1">
      <c r="A2" s="5" t="s">
        <v>1</v>
      </c>
      <c r="B2" s="6" t="s">
        <v>2</v>
      </c>
      <c r="C2" s="6" t="s">
        <v>3</v>
      </c>
      <c r="D2" s="5" t="s">
        <v>4</v>
      </c>
      <c r="E2" s="6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>
      <c r="A3" s="7">
        <v>1.0</v>
      </c>
      <c r="B3" s="7" t="s">
        <v>15</v>
      </c>
      <c r="C3" s="7">
        <v>3.0</v>
      </c>
      <c r="D3" s="7" t="s">
        <v>16</v>
      </c>
      <c r="E3" s="7" t="s">
        <v>17</v>
      </c>
      <c r="F3" s="8" t="s">
        <v>18</v>
      </c>
      <c r="G3" s="7" t="s">
        <v>19</v>
      </c>
      <c r="H3" s="7" t="s">
        <v>20</v>
      </c>
      <c r="I3" s="9">
        <v>0.074</v>
      </c>
      <c r="J3" s="9">
        <f t="shared" ref="J3:J38" si="1">C3*I3*5</f>
        <v>1.11</v>
      </c>
      <c r="K3" s="7" t="s">
        <v>21</v>
      </c>
      <c r="L3" s="8" t="s">
        <v>21</v>
      </c>
      <c r="M3" s="7" t="s">
        <v>21</v>
      </c>
      <c r="N3" s="7" t="s">
        <v>21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>
      <c r="A4" s="7">
        <v>2.0</v>
      </c>
      <c r="B4" s="7" t="s">
        <v>22</v>
      </c>
      <c r="C4" s="7">
        <v>1.0</v>
      </c>
      <c r="D4" s="7" t="s">
        <v>23</v>
      </c>
      <c r="E4" s="7" t="s">
        <v>24</v>
      </c>
      <c r="F4" s="8" t="s">
        <v>25</v>
      </c>
      <c r="G4" s="7" t="s">
        <v>26</v>
      </c>
      <c r="H4" s="7" t="s">
        <v>27</v>
      </c>
      <c r="I4" s="9">
        <v>0.263</v>
      </c>
      <c r="J4" s="9">
        <f t="shared" si="1"/>
        <v>1.315</v>
      </c>
      <c r="K4" s="7" t="s">
        <v>21</v>
      </c>
      <c r="L4" s="8" t="s">
        <v>21</v>
      </c>
      <c r="M4" s="7" t="s">
        <v>21</v>
      </c>
      <c r="N4" s="7" t="s">
        <v>21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>
      <c r="A5" s="7">
        <v>3.0</v>
      </c>
      <c r="B5" s="7" t="s">
        <v>28</v>
      </c>
      <c r="C5" s="7">
        <v>14.0</v>
      </c>
      <c r="D5" s="7" t="s">
        <v>29</v>
      </c>
      <c r="E5" s="7" t="s">
        <v>30</v>
      </c>
      <c r="F5" s="8" t="s">
        <v>31</v>
      </c>
      <c r="G5" s="7" t="s">
        <v>32</v>
      </c>
      <c r="H5" s="7" t="s">
        <v>27</v>
      </c>
      <c r="I5" s="9">
        <v>0.008</v>
      </c>
      <c r="J5" s="9">
        <f t="shared" si="1"/>
        <v>0.56</v>
      </c>
      <c r="K5" s="7" t="s">
        <v>21</v>
      </c>
      <c r="L5" s="8" t="s">
        <v>21</v>
      </c>
      <c r="M5" s="7" t="s">
        <v>21</v>
      </c>
      <c r="N5" s="7" t="s">
        <v>21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>
      <c r="A6" s="7">
        <v>4.0</v>
      </c>
      <c r="B6" s="7" t="s">
        <v>33</v>
      </c>
      <c r="C6" s="7">
        <v>3.0</v>
      </c>
      <c r="D6" s="7" t="s">
        <v>16</v>
      </c>
      <c r="E6" s="7" t="s">
        <v>34</v>
      </c>
      <c r="F6" s="8" t="s">
        <v>35</v>
      </c>
      <c r="G6" s="7" t="s">
        <v>36</v>
      </c>
      <c r="H6" s="7" t="s">
        <v>37</v>
      </c>
      <c r="I6" s="9">
        <v>0.074</v>
      </c>
      <c r="J6" s="9">
        <f t="shared" si="1"/>
        <v>1.11</v>
      </c>
      <c r="K6" s="7" t="s">
        <v>21</v>
      </c>
      <c r="L6" s="8" t="s">
        <v>21</v>
      </c>
      <c r="M6" s="7" t="s">
        <v>21</v>
      </c>
      <c r="N6" s="7" t="s">
        <v>21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>
      <c r="A7" s="7">
        <v>5.0</v>
      </c>
      <c r="B7" s="7" t="s">
        <v>38</v>
      </c>
      <c r="C7" s="7">
        <v>2.0</v>
      </c>
      <c r="D7" s="7" t="s">
        <v>29</v>
      </c>
      <c r="E7" s="7" t="s">
        <v>39</v>
      </c>
      <c r="F7" s="8" t="s">
        <v>40</v>
      </c>
      <c r="G7" s="7" t="s">
        <v>41</v>
      </c>
      <c r="H7" s="7" t="s">
        <v>27</v>
      </c>
      <c r="I7" s="9">
        <v>0.101</v>
      </c>
      <c r="J7" s="9">
        <f t="shared" si="1"/>
        <v>1.01</v>
      </c>
      <c r="K7" s="7" t="s">
        <v>21</v>
      </c>
      <c r="L7" s="8" t="s">
        <v>21</v>
      </c>
      <c r="M7" s="7" t="s">
        <v>21</v>
      </c>
      <c r="N7" s="7" t="s">
        <v>21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>
      <c r="A8" s="7">
        <v>6.0</v>
      </c>
      <c r="B8" s="7" t="s">
        <v>42</v>
      </c>
      <c r="C8" s="7">
        <v>1.0</v>
      </c>
      <c r="D8" s="7" t="s">
        <v>16</v>
      </c>
      <c r="E8" s="7" t="s">
        <v>43</v>
      </c>
      <c r="F8" s="8" t="s">
        <v>44</v>
      </c>
      <c r="G8" s="7" t="s">
        <v>45</v>
      </c>
      <c r="H8" s="7" t="s">
        <v>20</v>
      </c>
      <c r="I8" s="9">
        <v>0.231</v>
      </c>
      <c r="J8" s="9">
        <f t="shared" si="1"/>
        <v>1.155</v>
      </c>
      <c r="K8" s="7" t="s">
        <v>21</v>
      </c>
      <c r="L8" s="8" t="s">
        <v>21</v>
      </c>
      <c r="M8" s="7" t="s">
        <v>21</v>
      </c>
      <c r="N8" s="7" t="s">
        <v>21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>
      <c r="A9" s="7">
        <v>7.0</v>
      </c>
      <c r="B9" s="7" t="s">
        <v>46</v>
      </c>
      <c r="C9" s="7">
        <v>1.0</v>
      </c>
      <c r="D9" s="7" t="s">
        <v>23</v>
      </c>
      <c r="E9" s="7" t="s">
        <v>47</v>
      </c>
      <c r="F9" s="8" t="s">
        <v>48</v>
      </c>
      <c r="G9" s="7" t="s">
        <v>49</v>
      </c>
      <c r="H9" s="7" t="s">
        <v>27</v>
      </c>
      <c r="I9" s="9">
        <v>0.158</v>
      </c>
      <c r="J9" s="9">
        <f t="shared" si="1"/>
        <v>0.79</v>
      </c>
      <c r="K9" s="7" t="s">
        <v>21</v>
      </c>
      <c r="L9" s="8" t="s">
        <v>21</v>
      </c>
      <c r="M9" s="7" t="s">
        <v>21</v>
      </c>
      <c r="N9" s="7" t="s">
        <v>21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>
      <c r="A10" s="7">
        <v>8.0</v>
      </c>
      <c r="B10" s="7" t="s">
        <v>50</v>
      </c>
      <c r="C10" s="7">
        <v>1.0</v>
      </c>
      <c r="D10" s="7" t="s">
        <v>29</v>
      </c>
      <c r="E10" s="7" t="s">
        <v>51</v>
      </c>
      <c r="F10" s="8" t="s">
        <v>52</v>
      </c>
      <c r="G10" s="7" t="s">
        <v>53</v>
      </c>
      <c r="H10" s="7" t="s">
        <v>27</v>
      </c>
      <c r="I10" s="9">
        <v>0.109</v>
      </c>
      <c r="J10" s="9">
        <f t="shared" si="1"/>
        <v>0.545</v>
      </c>
      <c r="K10" s="7" t="s">
        <v>54</v>
      </c>
      <c r="L10" s="8" t="s">
        <v>21</v>
      </c>
      <c r="M10" s="7" t="s">
        <v>21</v>
      </c>
      <c r="N10" s="7" t="s">
        <v>21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>
      <c r="A11" s="7">
        <v>9.0</v>
      </c>
      <c r="B11" s="7" t="s">
        <v>55</v>
      </c>
      <c r="C11" s="7">
        <v>2.0</v>
      </c>
      <c r="D11" s="7" t="s">
        <v>29</v>
      </c>
      <c r="E11" s="7" t="s">
        <v>56</v>
      </c>
      <c r="F11" s="8" t="s">
        <v>57</v>
      </c>
      <c r="G11" s="7" t="s">
        <v>58</v>
      </c>
      <c r="H11" s="7" t="s">
        <v>27</v>
      </c>
      <c r="I11" s="9">
        <v>0.095</v>
      </c>
      <c r="J11" s="9">
        <f t="shared" si="1"/>
        <v>0.95</v>
      </c>
      <c r="K11" s="7" t="s">
        <v>21</v>
      </c>
      <c r="L11" s="8" t="s">
        <v>21</v>
      </c>
      <c r="M11" s="7" t="s">
        <v>21</v>
      </c>
      <c r="N11" s="7" t="s">
        <v>21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>
      <c r="A12" s="7">
        <v>10.0</v>
      </c>
      <c r="B12" s="7" t="s">
        <v>59</v>
      </c>
      <c r="C12" s="7">
        <v>1.0</v>
      </c>
      <c r="D12" s="7" t="s">
        <v>23</v>
      </c>
      <c r="E12" s="7" t="s">
        <v>60</v>
      </c>
      <c r="F12" s="8" t="s">
        <v>61</v>
      </c>
      <c r="G12" s="7" t="s">
        <v>62</v>
      </c>
      <c r="H12" s="7" t="s">
        <v>20</v>
      </c>
      <c r="I12" s="9">
        <v>0.368</v>
      </c>
      <c r="J12" s="9">
        <f t="shared" si="1"/>
        <v>1.84</v>
      </c>
      <c r="K12" s="7" t="s">
        <v>21</v>
      </c>
      <c r="L12" s="8" t="s">
        <v>21</v>
      </c>
      <c r="M12" s="7" t="s">
        <v>21</v>
      </c>
      <c r="N12" s="7" t="s">
        <v>21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>
      <c r="A13" s="7">
        <v>11.0</v>
      </c>
      <c r="B13" s="7" t="s">
        <v>63</v>
      </c>
      <c r="C13" s="7">
        <v>1.0</v>
      </c>
      <c r="D13" s="7" t="s">
        <v>64</v>
      </c>
      <c r="E13" s="7" t="s">
        <v>65</v>
      </c>
      <c r="F13" s="8" t="s">
        <v>66</v>
      </c>
      <c r="G13" s="7" t="s">
        <v>67</v>
      </c>
      <c r="H13" s="7" t="s">
        <v>27</v>
      </c>
      <c r="I13" s="9">
        <v>0.094</v>
      </c>
      <c r="J13" s="9">
        <f t="shared" si="1"/>
        <v>0.47</v>
      </c>
      <c r="K13" s="7" t="s">
        <v>54</v>
      </c>
      <c r="L13" s="8" t="s">
        <v>21</v>
      </c>
      <c r="M13" s="7" t="s">
        <v>21</v>
      </c>
      <c r="N13" s="7" t="s">
        <v>21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>
      <c r="A14" s="7">
        <v>12.0</v>
      </c>
      <c r="B14" s="7" t="s">
        <v>68</v>
      </c>
      <c r="C14" s="7">
        <v>2.0</v>
      </c>
      <c r="D14" s="7" t="s">
        <v>16</v>
      </c>
      <c r="E14" s="7" t="s">
        <v>69</v>
      </c>
      <c r="F14" s="8" t="s">
        <v>70</v>
      </c>
      <c r="G14" s="7" t="s">
        <v>71</v>
      </c>
      <c r="H14" s="7" t="s">
        <v>27</v>
      </c>
      <c r="I14" s="9">
        <v>0.076</v>
      </c>
      <c r="J14" s="9">
        <f t="shared" si="1"/>
        <v>0.76</v>
      </c>
      <c r="K14" s="7" t="s">
        <v>21</v>
      </c>
      <c r="L14" s="8" t="s">
        <v>21</v>
      </c>
      <c r="M14" s="7" t="s">
        <v>21</v>
      </c>
      <c r="N14" s="7" t="s">
        <v>21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>
      <c r="A15" s="7">
        <v>13.0</v>
      </c>
      <c r="B15" s="7" t="s">
        <v>72</v>
      </c>
      <c r="C15" s="7">
        <v>1.0</v>
      </c>
      <c r="D15" s="7" t="s">
        <v>73</v>
      </c>
      <c r="E15" s="7" t="s">
        <v>74</v>
      </c>
      <c r="F15" s="8" t="s">
        <v>75</v>
      </c>
      <c r="G15" s="7" t="s">
        <v>76</v>
      </c>
      <c r="H15" s="7" t="s">
        <v>77</v>
      </c>
      <c r="I15" s="9">
        <v>2.205</v>
      </c>
      <c r="J15" s="9">
        <f t="shared" si="1"/>
        <v>11.025</v>
      </c>
      <c r="K15" s="7" t="s">
        <v>21</v>
      </c>
      <c r="L15" s="8" t="s">
        <v>21</v>
      </c>
      <c r="M15" s="7" t="s">
        <v>21</v>
      </c>
      <c r="N15" s="7" t="s">
        <v>21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>
      <c r="A16" s="7">
        <v>14.0</v>
      </c>
      <c r="B16" s="7" t="s">
        <v>78</v>
      </c>
      <c r="C16" s="7">
        <v>4.0</v>
      </c>
      <c r="D16" s="7" t="s">
        <v>79</v>
      </c>
      <c r="E16" s="7" t="s">
        <v>80</v>
      </c>
      <c r="F16" s="8" t="s">
        <v>80</v>
      </c>
      <c r="G16" s="7" t="s">
        <v>81</v>
      </c>
      <c r="H16" s="7" t="s">
        <v>82</v>
      </c>
      <c r="I16" s="9">
        <v>0.094</v>
      </c>
      <c r="J16" s="9">
        <f t="shared" si="1"/>
        <v>1.88</v>
      </c>
      <c r="K16" s="7" t="s">
        <v>54</v>
      </c>
      <c r="L16" s="8" t="s">
        <v>21</v>
      </c>
      <c r="M16" s="7" t="s">
        <v>21</v>
      </c>
      <c r="N16" s="7" t="s">
        <v>21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>
      <c r="A17" s="7">
        <v>15.0</v>
      </c>
      <c r="B17" s="7" t="s">
        <v>83</v>
      </c>
      <c r="C17" s="7">
        <v>1.0</v>
      </c>
      <c r="D17" s="7" t="s">
        <v>84</v>
      </c>
      <c r="E17" s="7" t="s">
        <v>85</v>
      </c>
      <c r="F17" s="8" t="s">
        <v>86</v>
      </c>
      <c r="G17" s="7" t="s">
        <v>87</v>
      </c>
      <c r="H17" s="7" t="s">
        <v>20</v>
      </c>
      <c r="I17" s="9">
        <v>0.655</v>
      </c>
      <c r="J17" s="9">
        <f t="shared" si="1"/>
        <v>3.275</v>
      </c>
      <c r="K17" s="7" t="s">
        <v>54</v>
      </c>
      <c r="L17" s="8" t="s">
        <v>21</v>
      </c>
      <c r="M17" s="7" t="s">
        <v>21</v>
      </c>
      <c r="N17" s="7" t="s">
        <v>21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>
      <c r="A18" s="7">
        <v>16.0</v>
      </c>
      <c r="B18" s="7" t="s">
        <v>88</v>
      </c>
      <c r="C18" s="7">
        <v>2.0</v>
      </c>
      <c r="D18" s="7" t="s">
        <v>89</v>
      </c>
      <c r="E18" s="7" t="s">
        <v>90</v>
      </c>
      <c r="F18" s="8" t="s">
        <v>91</v>
      </c>
      <c r="G18" s="7" t="s">
        <v>92</v>
      </c>
      <c r="H18" s="7" t="s">
        <v>20</v>
      </c>
      <c r="I18" s="9">
        <v>0.118</v>
      </c>
      <c r="J18" s="9">
        <f t="shared" si="1"/>
        <v>1.18</v>
      </c>
      <c r="K18" s="7" t="s">
        <v>54</v>
      </c>
      <c r="L18" s="8" t="s">
        <v>21</v>
      </c>
      <c r="M18" s="7" t="s">
        <v>21</v>
      </c>
      <c r="N18" s="7" t="s">
        <v>21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>
      <c r="A19" s="7">
        <v>17.0</v>
      </c>
      <c r="B19" s="7" t="s">
        <v>93</v>
      </c>
      <c r="C19" s="7">
        <v>1.0</v>
      </c>
      <c r="D19" s="7" t="s">
        <v>94</v>
      </c>
      <c r="E19" s="7" t="s">
        <v>95</v>
      </c>
      <c r="F19" s="8" t="s">
        <v>96</v>
      </c>
      <c r="G19" s="7" t="s">
        <v>97</v>
      </c>
      <c r="H19" s="7" t="s">
        <v>98</v>
      </c>
      <c r="I19" s="9">
        <v>0.98</v>
      </c>
      <c r="J19" s="9">
        <f t="shared" si="1"/>
        <v>4.9</v>
      </c>
      <c r="K19" s="7" t="s">
        <v>54</v>
      </c>
      <c r="L19" s="8" t="s">
        <v>21</v>
      </c>
      <c r="M19" s="7" t="s">
        <v>21</v>
      </c>
      <c r="N19" s="7" t="s">
        <v>21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>
      <c r="A20" s="7">
        <v>18.0</v>
      </c>
      <c r="B20" s="7" t="s">
        <v>99</v>
      </c>
      <c r="C20" s="7">
        <v>1.0</v>
      </c>
      <c r="D20" s="7" t="s">
        <v>100</v>
      </c>
      <c r="E20" s="7" t="s">
        <v>101</v>
      </c>
      <c r="F20" s="8" t="s">
        <v>102</v>
      </c>
      <c r="G20" s="7" t="s">
        <v>103</v>
      </c>
      <c r="H20" s="7" t="s">
        <v>104</v>
      </c>
      <c r="I20" s="9">
        <v>1.364</v>
      </c>
      <c r="J20" s="9">
        <f t="shared" si="1"/>
        <v>6.82</v>
      </c>
      <c r="K20" s="7" t="s">
        <v>21</v>
      </c>
      <c r="L20" s="8" t="s">
        <v>21</v>
      </c>
      <c r="M20" s="7" t="s">
        <v>21</v>
      </c>
      <c r="N20" s="7" t="s">
        <v>21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ht="15.75" customHeight="1">
      <c r="A21" s="7">
        <v>19.0</v>
      </c>
      <c r="B21" s="7" t="s">
        <v>105</v>
      </c>
      <c r="C21" s="7">
        <v>1.0</v>
      </c>
      <c r="D21" s="7" t="s">
        <v>106</v>
      </c>
      <c r="E21" s="7" t="s">
        <v>107</v>
      </c>
      <c r="F21" s="8" t="s">
        <v>108</v>
      </c>
      <c r="G21" s="7" t="s">
        <v>109</v>
      </c>
      <c r="H21" s="7" t="s">
        <v>110</v>
      </c>
      <c r="I21" s="9">
        <v>1.2</v>
      </c>
      <c r="J21" s="9">
        <f t="shared" si="1"/>
        <v>6</v>
      </c>
      <c r="K21" s="7" t="s">
        <v>54</v>
      </c>
      <c r="L21" s="8" t="s">
        <v>21</v>
      </c>
      <c r="M21" s="7" t="s">
        <v>21</v>
      </c>
      <c r="N21" s="7" t="s">
        <v>21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</row>
    <row r="22" ht="15.75" customHeight="1">
      <c r="A22" s="7">
        <v>20.0</v>
      </c>
      <c r="B22" s="7" t="s">
        <v>111</v>
      </c>
      <c r="C22" s="7">
        <v>1.0</v>
      </c>
      <c r="D22" s="7" t="s">
        <v>112</v>
      </c>
      <c r="E22" s="7" t="s">
        <v>113</v>
      </c>
      <c r="F22" s="8" t="s">
        <v>114</v>
      </c>
      <c r="G22" s="7" t="s">
        <v>115</v>
      </c>
      <c r="H22" s="7" t="s">
        <v>116</v>
      </c>
      <c r="I22" s="9">
        <v>0.161</v>
      </c>
      <c r="J22" s="9">
        <f t="shared" si="1"/>
        <v>0.805</v>
      </c>
      <c r="K22" s="7" t="s">
        <v>21</v>
      </c>
      <c r="L22" s="8" t="s">
        <v>21</v>
      </c>
      <c r="M22" s="7" t="s">
        <v>21</v>
      </c>
      <c r="N22" s="7" t="s">
        <v>21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ht="15.75" customHeight="1">
      <c r="A23" s="7">
        <v>21.0</v>
      </c>
      <c r="B23" s="7" t="s">
        <v>117</v>
      </c>
      <c r="C23" s="7">
        <v>1.0</v>
      </c>
      <c r="D23" s="7" t="s">
        <v>118</v>
      </c>
      <c r="E23" s="7" t="s">
        <v>119</v>
      </c>
      <c r="F23" s="8" t="s">
        <v>120</v>
      </c>
      <c r="G23" s="7" t="s">
        <v>121</v>
      </c>
      <c r="H23" s="7" t="s">
        <v>122</v>
      </c>
      <c r="I23" s="9">
        <v>6.611</v>
      </c>
      <c r="J23" s="9">
        <f t="shared" si="1"/>
        <v>33.055</v>
      </c>
      <c r="K23" s="7" t="s">
        <v>54</v>
      </c>
      <c r="L23" s="8" t="s">
        <v>21</v>
      </c>
      <c r="M23" s="7" t="s">
        <v>21</v>
      </c>
      <c r="N23" s="7" t="s">
        <v>21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ht="15.75" customHeight="1">
      <c r="A24" s="7">
        <v>22.0</v>
      </c>
      <c r="B24" s="7" t="s">
        <v>123</v>
      </c>
      <c r="C24" s="7">
        <v>1.0</v>
      </c>
      <c r="D24" s="7" t="s">
        <v>84</v>
      </c>
      <c r="E24" s="7" t="s">
        <v>124</v>
      </c>
      <c r="F24" s="8" t="s">
        <v>125</v>
      </c>
      <c r="G24" s="7" t="s">
        <v>126</v>
      </c>
      <c r="H24" s="7" t="s">
        <v>127</v>
      </c>
      <c r="I24" s="9">
        <v>2.174</v>
      </c>
      <c r="J24" s="9">
        <f t="shared" si="1"/>
        <v>10.87</v>
      </c>
      <c r="K24" s="7" t="s">
        <v>21</v>
      </c>
      <c r="L24" s="8" t="s">
        <v>21</v>
      </c>
      <c r="M24" s="7" t="s">
        <v>21</v>
      </c>
      <c r="N24" s="7" t="s">
        <v>21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ht="15.75" customHeight="1">
      <c r="A25" s="7">
        <v>23.0</v>
      </c>
      <c r="B25" s="7" t="s">
        <v>128</v>
      </c>
      <c r="C25" s="7">
        <v>1.0</v>
      </c>
      <c r="D25" s="7" t="s">
        <v>89</v>
      </c>
      <c r="E25" s="7" t="s">
        <v>129</v>
      </c>
      <c r="F25" s="8" t="s">
        <v>130</v>
      </c>
      <c r="G25" s="7" t="s">
        <v>131</v>
      </c>
      <c r="H25" s="7" t="s">
        <v>132</v>
      </c>
      <c r="I25" s="9">
        <v>0.242</v>
      </c>
      <c r="J25" s="9">
        <f t="shared" si="1"/>
        <v>1.21</v>
      </c>
      <c r="K25" s="7" t="s">
        <v>21</v>
      </c>
      <c r="L25" s="8" t="s">
        <v>21</v>
      </c>
      <c r="M25" s="7" t="s">
        <v>21</v>
      </c>
      <c r="N25" s="7" t="s">
        <v>21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 ht="15.75" customHeight="1">
      <c r="A26" s="7">
        <v>24.0</v>
      </c>
      <c r="B26" s="7" t="s">
        <v>133</v>
      </c>
      <c r="C26" s="7">
        <v>1.0</v>
      </c>
      <c r="D26" s="7" t="s">
        <v>134</v>
      </c>
      <c r="E26" s="7" t="s">
        <v>135</v>
      </c>
      <c r="F26" s="8" t="s">
        <v>136</v>
      </c>
      <c r="G26" s="7" t="s">
        <v>137</v>
      </c>
      <c r="H26" s="7" t="s">
        <v>138</v>
      </c>
      <c r="I26" s="9">
        <v>0.313</v>
      </c>
      <c r="J26" s="9">
        <f t="shared" si="1"/>
        <v>1.565</v>
      </c>
      <c r="K26" s="7" t="s">
        <v>54</v>
      </c>
      <c r="L26" s="8" t="s">
        <v>21</v>
      </c>
      <c r="M26" s="7" t="s">
        <v>21</v>
      </c>
      <c r="N26" s="7" t="s">
        <v>21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ht="15.75" customHeight="1">
      <c r="A27" s="7">
        <v>25.0</v>
      </c>
      <c r="B27" s="7" t="s">
        <v>139</v>
      </c>
      <c r="C27" s="7">
        <v>1.0</v>
      </c>
      <c r="D27" s="7" t="s">
        <v>29</v>
      </c>
      <c r="E27" s="7" t="s">
        <v>140</v>
      </c>
      <c r="F27" s="8" t="s">
        <v>141</v>
      </c>
      <c r="G27" s="7" t="s">
        <v>142</v>
      </c>
      <c r="H27" s="7" t="s">
        <v>27</v>
      </c>
      <c r="I27" s="9">
        <v>0.436</v>
      </c>
      <c r="J27" s="9">
        <f t="shared" si="1"/>
        <v>2.18</v>
      </c>
      <c r="K27" s="7" t="s">
        <v>54</v>
      </c>
      <c r="L27" s="8" t="s">
        <v>21</v>
      </c>
      <c r="M27" s="7" t="s">
        <v>21</v>
      </c>
      <c r="N27" s="7" t="s">
        <v>21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 ht="15.75" customHeight="1">
      <c r="A28" s="7">
        <v>26.0</v>
      </c>
      <c r="B28" s="7" t="s">
        <v>143</v>
      </c>
      <c r="C28" s="7">
        <v>1.0</v>
      </c>
      <c r="D28" s="7" t="s">
        <v>29</v>
      </c>
      <c r="E28" s="7" t="s">
        <v>144</v>
      </c>
      <c r="F28" s="8" t="s">
        <v>145</v>
      </c>
      <c r="G28" s="7" t="s">
        <v>146</v>
      </c>
      <c r="H28" s="7" t="s">
        <v>20</v>
      </c>
      <c r="I28" s="9">
        <v>0.344</v>
      </c>
      <c r="J28" s="9">
        <f t="shared" si="1"/>
        <v>1.72</v>
      </c>
      <c r="K28" s="7" t="s">
        <v>54</v>
      </c>
      <c r="L28" s="8" t="s">
        <v>21</v>
      </c>
      <c r="M28" s="7" t="s">
        <v>21</v>
      </c>
      <c r="N28" s="7" t="s">
        <v>21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 ht="15.75" customHeight="1">
      <c r="A29" s="7">
        <v>27.0</v>
      </c>
      <c r="B29" s="7" t="s">
        <v>147</v>
      </c>
      <c r="C29" s="7">
        <v>3.0</v>
      </c>
      <c r="D29" s="7" t="s">
        <v>64</v>
      </c>
      <c r="E29" s="7" t="s">
        <v>148</v>
      </c>
      <c r="F29" s="8" t="s">
        <v>149</v>
      </c>
      <c r="G29" s="7" t="s">
        <v>150</v>
      </c>
      <c r="H29" s="7" t="s">
        <v>27</v>
      </c>
      <c r="I29" s="9">
        <v>0.015</v>
      </c>
      <c r="J29" s="9">
        <f t="shared" si="1"/>
        <v>0.225</v>
      </c>
      <c r="K29" s="7" t="s">
        <v>21</v>
      </c>
      <c r="L29" s="8" t="s">
        <v>21</v>
      </c>
      <c r="M29" s="7" t="s">
        <v>21</v>
      </c>
      <c r="N29" s="7" t="s">
        <v>21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 ht="15.75" customHeight="1">
      <c r="A30" s="7">
        <v>28.0</v>
      </c>
      <c r="B30" s="7" t="s">
        <v>151</v>
      </c>
      <c r="C30" s="7">
        <v>1.0</v>
      </c>
      <c r="D30" s="7" t="s">
        <v>64</v>
      </c>
      <c r="E30" s="7" t="s">
        <v>152</v>
      </c>
      <c r="F30" s="8" t="s">
        <v>153</v>
      </c>
      <c r="G30" s="7" t="s">
        <v>154</v>
      </c>
      <c r="H30" s="7" t="s">
        <v>27</v>
      </c>
      <c r="I30" s="9">
        <v>0.032</v>
      </c>
      <c r="J30" s="9">
        <f t="shared" si="1"/>
        <v>0.16</v>
      </c>
      <c r="K30" s="7" t="s">
        <v>21</v>
      </c>
      <c r="L30" s="8" t="s">
        <v>21</v>
      </c>
      <c r="M30" s="7" t="s">
        <v>21</v>
      </c>
      <c r="N30" s="7" t="s">
        <v>21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 ht="15.75" customHeight="1">
      <c r="A31" s="7">
        <v>29.0</v>
      </c>
      <c r="B31" s="7" t="s">
        <v>155</v>
      </c>
      <c r="C31" s="7">
        <v>3.0</v>
      </c>
      <c r="D31" s="7" t="s">
        <v>64</v>
      </c>
      <c r="E31" s="7" t="s">
        <v>156</v>
      </c>
      <c r="F31" s="8" t="s">
        <v>157</v>
      </c>
      <c r="G31" s="7" t="s">
        <v>158</v>
      </c>
      <c r="H31" s="7" t="s">
        <v>27</v>
      </c>
      <c r="I31" s="9">
        <v>0.015</v>
      </c>
      <c r="J31" s="9">
        <f t="shared" si="1"/>
        <v>0.225</v>
      </c>
      <c r="K31" s="7" t="s">
        <v>21</v>
      </c>
      <c r="L31" s="8" t="s">
        <v>21</v>
      </c>
      <c r="M31" s="7" t="s">
        <v>21</v>
      </c>
      <c r="N31" s="7" t="s">
        <v>21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 ht="15.75" customHeight="1">
      <c r="A32" s="7">
        <v>30.0</v>
      </c>
      <c r="B32" s="7" t="s">
        <v>159</v>
      </c>
      <c r="C32" s="7">
        <v>1.0</v>
      </c>
      <c r="D32" s="7" t="s">
        <v>160</v>
      </c>
      <c r="E32" s="7" t="s">
        <v>161</v>
      </c>
      <c r="F32" s="8" t="s">
        <v>162</v>
      </c>
      <c r="G32" s="7" t="s">
        <v>163</v>
      </c>
      <c r="H32" s="7" t="s">
        <v>20</v>
      </c>
      <c r="I32" s="9">
        <v>0.053</v>
      </c>
      <c r="J32" s="9">
        <f t="shared" si="1"/>
        <v>0.265</v>
      </c>
      <c r="K32" s="7" t="s">
        <v>21</v>
      </c>
      <c r="L32" s="8" t="s">
        <v>21</v>
      </c>
      <c r="M32" s="7" t="s">
        <v>21</v>
      </c>
      <c r="N32" s="7" t="s">
        <v>21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 ht="15.75" customHeight="1">
      <c r="A33" s="7">
        <v>31.0</v>
      </c>
      <c r="B33" s="7" t="s">
        <v>164</v>
      </c>
      <c r="C33" s="7">
        <v>1.0</v>
      </c>
      <c r="D33" s="7" t="s">
        <v>64</v>
      </c>
      <c r="E33" s="7" t="s">
        <v>165</v>
      </c>
      <c r="F33" s="8" t="s">
        <v>166</v>
      </c>
      <c r="G33" s="7" t="s">
        <v>167</v>
      </c>
      <c r="H33" s="7" t="s">
        <v>27</v>
      </c>
      <c r="I33" s="9">
        <v>0.023</v>
      </c>
      <c r="J33" s="9">
        <f t="shared" si="1"/>
        <v>0.115</v>
      </c>
      <c r="K33" s="7" t="s">
        <v>54</v>
      </c>
      <c r="L33" s="8" t="s">
        <v>21</v>
      </c>
      <c r="M33" s="7" t="s">
        <v>21</v>
      </c>
      <c r="N33" s="7" t="s">
        <v>21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 ht="15.75" customHeight="1">
      <c r="A34" s="7">
        <v>32.0</v>
      </c>
      <c r="B34" s="7" t="s">
        <v>168</v>
      </c>
      <c r="C34" s="7">
        <v>1.0</v>
      </c>
      <c r="D34" s="7" t="s">
        <v>73</v>
      </c>
      <c r="E34" s="7" t="s">
        <v>169</v>
      </c>
      <c r="F34" s="8" t="s">
        <v>170</v>
      </c>
      <c r="G34" s="7" t="s">
        <v>171</v>
      </c>
      <c r="H34" s="7" t="s">
        <v>27</v>
      </c>
      <c r="I34" s="9">
        <v>0.116</v>
      </c>
      <c r="J34" s="9">
        <f t="shared" si="1"/>
        <v>0.58</v>
      </c>
      <c r="K34" s="7" t="s">
        <v>21</v>
      </c>
      <c r="L34" s="8" t="s">
        <v>21</v>
      </c>
      <c r="M34" s="7" t="s">
        <v>21</v>
      </c>
      <c r="N34" s="7" t="s">
        <v>21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</row>
    <row r="35" ht="15.75" customHeight="1">
      <c r="A35" s="7">
        <v>33.0</v>
      </c>
      <c r="B35" s="7" t="s">
        <v>172</v>
      </c>
      <c r="C35" s="7">
        <v>1.0</v>
      </c>
      <c r="D35" s="7" t="s">
        <v>64</v>
      </c>
      <c r="E35" s="7" t="s">
        <v>173</v>
      </c>
      <c r="F35" s="8" t="s">
        <v>174</v>
      </c>
      <c r="G35" s="7" t="s">
        <v>175</v>
      </c>
      <c r="H35" s="7" t="s">
        <v>27</v>
      </c>
      <c r="I35" s="9">
        <v>0.032</v>
      </c>
      <c r="J35" s="9">
        <f t="shared" si="1"/>
        <v>0.16</v>
      </c>
      <c r="K35" s="7" t="s">
        <v>21</v>
      </c>
      <c r="L35" s="8" t="s">
        <v>21</v>
      </c>
      <c r="M35" s="7" t="s">
        <v>21</v>
      </c>
      <c r="N35" s="7" t="s">
        <v>21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</row>
    <row r="36" ht="15.75" customHeight="1">
      <c r="A36" s="7">
        <v>34.0</v>
      </c>
      <c r="B36" s="7" t="s">
        <v>176</v>
      </c>
      <c r="C36" s="7">
        <v>1.0</v>
      </c>
      <c r="D36" s="7" t="s">
        <v>64</v>
      </c>
      <c r="E36" s="7" t="s">
        <v>177</v>
      </c>
      <c r="F36" s="8" t="s">
        <v>178</v>
      </c>
      <c r="G36" s="7" t="s">
        <v>179</v>
      </c>
      <c r="H36" s="7" t="s">
        <v>20</v>
      </c>
      <c r="I36" s="9">
        <v>0.053</v>
      </c>
      <c r="J36" s="9">
        <f t="shared" si="1"/>
        <v>0.265</v>
      </c>
      <c r="K36" s="7" t="s">
        <v>21</v>
      </c>
      <c r="L36" s="8" t="s">
        <v>21</v>
      </c>
      <c r="M36" s="7" t="s">
        <v>21</v>
      </c>
      <c r="N36" s="7" t="s">
        <v>21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</row>
    <row r="37" ht="15.75" customHeight="1">
      <c r="A37" s="7">
        <v>35.0</v>
      </c>
      <c r="B37" s="7" t="s">
        <v>180</v>
      </c>
      <c r="C37" s="7">
        <v>1.0</v>
      </c>
      <c r="D37" s="7" t="s">
        <v>64</v>
      </c>
      <c r="E37" s="7" t="s">
        <v>181</v>
      </c>
      <c r="F37" s="8" t="s">
        <v>182</v>
      </c>
      <c r="G37" s="7" t="s">
        <v>183</v>
      </c>
      <c r="H37" s="7" t="s">
        <v>27</v>
      </c>
      <c r="I37" s="9">
        <v>0.032</v>
      </c>
      <c r="J37" s="9">
        <f t="shared" si="1"/>
        <v>0.16</v>
      </c>
      <c r="K37" s="7" t="s">
        <v>21</v>
      </c>
      <c r="L37" s="8" t="s">
        <v>21</v>
      </c>
      <c r="M37" s="7" t="s">
        <v>21</v>
      </c>
      <c r="N37" s="7" t="s">
        <v>21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</row>
    <row r="38" ht="15.75" customHeight="1">
      <c r="A38" s="7">
        <v>36.0</v>
      </c>
      <c r="B38" s="7" t="s">
        <v>184</v>
      </c>
      <c r="C38" s="7">
        <v>2.0</v>
      </c>
      <c r="D38" s="7" t="s">
        <v>185</v>
      </c>
      <c r="E38" s="7" t="s">
        <v>186</v>
      </c>
      <c r="F38" s="8" t="s">
        <v>186</v>
      </c>
      <c r="G38" s="7" t="s">
        <v>187</v>
      </c>
      <c r="H38" s="7" t="s">
        <v>188</v>
      </c>
      <c r="I38" s="9">
        <v>0.151</v>
      </c>
      <c r="J38" s="9">
        <f t="shared" si="1"/>
        <v>1.51</v>
      </c>
      <c r="K38" s="7" t="s">
        <v>21</v>
      </c>
      <c r="L38" s="8" t="s">
        <v>21</v>
      </c>
      <c r="M38" s="7" t="s">
        <v>21</v>
      </c>
      <c r="N38" s="7" t="s">
        <v>21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ht="15.75" customHeight="1">
      <c r="A39" s="7">
        <v>37.0</v>
      </c>
      <c r="B39" s="7" t="s">
        <v>189</v>
      </c>
      <c r="C39" s="7">
        <v>8.0</v>
      </c>
      <c r="D39" s="7" t="s">
        <v>21</v>
      </c>
      <c r="E39" s="7" t="s">
        <v>21</v>
      </c>
      <c r="F39" s="8" t="s">
        <v>190</v>
      </c>
      <c r="G39" s="7" t="s">
        <v>21</v>
      </c>
      <c r="H39" s="7" t="s">
        <v>191</v>
      </c>
      <c r="I39" s="9" t="s">
        <v>21</v>
      </c>
      <c r="J39" s="9" t="s">
        <v>21</v>
      </c>
      <c r="K39" s="7" t="s">
        <v>21</v>
      </c>
      <c r="L39" s="10" t="s">
        <v>192</v>
      </c>
      <c r="M39" s="7" t="s">
        <v>21</v>
      </c>
      <c r="N39" s="7" t="s">
        <v>21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</row>
    <row r="40" ht="15.75" customHeight="1">
      <c r="A40" s="7">
        <v>38.0</v>
      </c>
      <c r="B40" s="7" t="s">
        <v>193</v>
      </c>
      <c r="C40" s="7">
        <v>1.0</v>
      </c>
      <c r="D40" s="7" t="s">
        <v>21</v>
      </c>
      <c r="E40" s="7" t="s">
        <v>21</v>
      </c>
      <c r="F40" s="8" t="s">
        <v>194</v>
      </c>
      <c r="G40" s="7" t="s">
        <v>21</v>
      </c>
      <c r="H40" s="7" t="s">
        <v>191</v>
      </c>
      <c r="I40" s="9" t="s">
        <v>21</v>
      </c>
      <c r="J40" s="9" t="s">
        <v>21</v>
      </c>
      <c r="K40" s="7" t="s">
        <v>21</v>
      </c>
      <c r="L40" s="10" t="s">
        <v>195</v>
      </c>
      <c r="M40" s="7" t="s">
        <v>21</v>
      </c>
      <c r="N40" s="7" t="s">
        <v>21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</row>
    <row r="41" ht="15.75" customHeight="1">
      <c r="A41" s="7">
        <v>39.0</v>
      </c>
      <c r="B41" s="7" t="s">
        <v>196</v>
      </c>
      <c r="C41" s="7">
        <v>1.0</v>
      </c>
      <c r="D41" s="7" t="s">
        <v>197</v>
      </c>
      <c r="E41" s="7" t="s">
        <v>198</v>
      </c>
      <c r="F41" s="8" t="s">
        <v>198</v>
      </c>
      <c r="G41" s="7" t="s">
        <v>199</v>
      </c>
      <c r="H41" s="7" t="s">
        <v>200</v>
      </c>
      <c r="I41" s="9">
        <v>3.031</v>
      </c>
      <c r="J41" s="9">
        <f t="shared" ref="J41:J50" si="2">C41*I41*5</f>
        <v>15.155</v>
      </c>
      <c r="K41" s="7" t="s">
        <v>21</v>
      </c>
      <c r="L41" s="8" t="s">
        <v>21</v>
      </c>
      <c r="M41" s="7" t="s">
        <v>21</v>
      </c>
      <c r="N41" s="7" t="s">
        <v>21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 ht="15.75" customHeight="1">
      <c r="A42" s="7">
        <v>40.0</v>
      </c>
      <c r="B42" s="7" t="s">
        <v>201</v>
      </c>
      <c r="C42" s="7">
        <v>1.0</v>
      </c>
      <c r="D42" s="7" t="s">
        <v>197</v>
      </c>
      <c r="E42" s="7" t="s">
        <v>202</v>
      </c>
      <c r="F42" s="8" t="s">
        <v>202</v>
      </c>
      <c r="G42" s="7" t="s">
        <v>203</v>
      </c>
      <c r="H42" s="7" t="s">
        <v>204</v>
      </c>
      <c r="I42" s="9">
        <v>5.846</v>
      </c>
      <c r="J42" s="9">
        <f t="shared" si="2"/>
        <v>29.23</v>
      </c>
      <c r="K42" s="7" t="s">
        <v>54</v>
      </c>
      <c r="L42" s="8" t="s">
        <v>21</v>
      </c>
      <c r="M42" s="7" t="s">
        <v>21</v>
      </c>
      <c r="N42" s="7" t="s">
        <v>21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 ht="15.75" customHeight="1">
      <c r="A43" s="7">
        <v>41.0</v>
      </c>
      <c r="B43" s="7" t="s">
        <v>205</v>
      </c>
      <c r="C43" s="7">
        <v>1.0</v>
      </c>
      <c r="D43" s="7" t="s">
        <v>206</v>
      </c>
      <c r="E43" s="7" t="s">
        <v>207</v>
      </c>
      <c r="F43" s="8" t="s">
        <v>207</v>
      </c>
      <c r="G43" s="7" t="s">
        <v>208</v>
      </c>
      <c r="H43" s="7" t="s">
        <v>209</v>
      </c>
      <c r="I43" s="9">
        <v>3.381</v>
      </c>
      <c r="J43" s="9">
        <f t="shared" si="2"/>
        <v>16.905</v>
      </c>
      <c r="K43" s="7" t="s">
        <v>21</v>
      </c>
      <c r="L43" s="8" t="s">
        <v>21</v>
      </c>
      <c r="M43" s="7" t="s">
        <v>21</v>
      </c>
      <c r="N43" s="7" t="s">
        <v>21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 ht="15.75" customHeight="1">
      <c r="A44" s="7">
        <v>42.0</v>
      </c>
      <c r="B44" s="7" t="s">
        <v>210</v>
      </c>
      <c r="C44" s="7">
        <v>1.0</v>
      </c>
      <c r="D44" s="7" t="s">
        <v>211</v>
      </c>
      <c r="E44" s="7" t="s">
        <v>212</v>
      </c>
      <c r="F44" s="8" t="s">
        <v>212</v>
      </c>
      <c r="G44" s="7" t="s">
        <v>213</v>
      </c>
      <c r="H44" s="7" t="s">
        <v>214</v>
      </c>
      <c r="I44" s="9">
        <v>0.242</v>
      </c>
      <c r="J44" s="9">
        <f t="shared" si="2"/>
        <v>1.21</v>
      </c>
      <c r="K44" s="7" t="s">
        <v>21</v>
      </c>
      <c r="L44" s="8" t="s">
        <v>21</v>
      </c>
      <c r="M44" s="7" t="s">
        <v>21</v>
      </c>
      <c r="N44" s="7" t="s">
        <v>21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 ht="15.75" customHeight="1">
      <c r="A45" s="7">
        <v>43.0</v>
      </c>
      <c r="B45" s="7" t="s">
        <v>215</v>
      </c>
      <c r="C45" s="7">
        <v>1.0</v>
      </c>
      <c r="D45" s="7" t="s">
        <v>216</v>
      </c>
      <c r="E45" s="7" t="s">
        <v>217</v>
      </c>
      <c r="F45" s="8" t="s">
        <v>218</v>
      </c>
      <c r="G45" s="7" t="s">
        <v>219</v>
      </c>
      <c r="H45" s="7" t="s">
        <v>220</v>
      </c>
      <c r="I45" s="9">
        <v>0.966</v>
      </c>
      <c r="J45" s="9">
        <f t="shared" si="2"/>
        <v>4.83</v>
      </c>
      <c r="K45" s="7" t="s">
        <v>21</v>
      </c>
      <c r="L45" s="8" t="s">
        <v>21</v>
      </c>
      <c r="M45" s="7" t="s">
        <v>21</v>
      </c>
      <c r="N45" s="7" t="s">
        <v>21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 ht="15.75" customHeight="1">
      <c r="A46" s="7">
        <v>44.0</v>
      </c>
      <c r="B46" s="7" t="s">
        <v>221</v>
      </c>
      <c r="C46" s="7">
        <v>1.0</v>
      </c>
      <c r="D46" s="7" t="s">
        <v>222</v>
      </c>
      <c r="E46" s="7" t="s">
        <v>223</v>
      </c>
      <c r="F46" s="8" t="s">
        <v>224</v>
      </c>
      <c r="G46" s="7" t="s">
        <v>225</v>
      </c>
      <c r="H46" s="7" t="s">
        <v>226</v>
      </c>
      <c r="I46" s="9">
        <v>1.328</v>
      </c>
      <c r="J46" s="9">
        <f t="shared" si="2"/>
        <v>6.64</v>
      </c>
      <c r="K46" s="7" t="s">
        <v>21</v>
      </c>
      <c r="L46" s="8" t="s">
        <v>21</v>
      </c>
      <c r="M46" s="7" t="s">
        <v>21</v>
      </c>
      <c r="N46" s="7" t="s">
        <v>21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 ht="15.75" customHeight="1">
      <c r="A47" s="7">
        <v>45.0</v>
      </c>
      <c r="B47" s="7" t="s">
        <v>227</v>
      </c>
      <c r="C47" s="7">
        <v>1.0</v>
      </c>
      <c r="D47" s="7" t="s">
        <v>228</v>
      </c>
      <c r="E47" s="7" t="s">
        <v>229</v>
      </c>
      <c r="F47" s="8" t="s">
        <v>229</v>
      </c>
      <c r="G47" s="7" t="s">
        <v>230</v>
      </c>
      <c r="H47" s="7" t="s">
        <v>231</v>
      </c>
      <c r="I47" s="9">
        <v>5.555</v>
      </c>
      <c r="J47" s="9">
        <f t="shared" si="2"/>
        <v>27.775</v>
      </c>
      <c r="K47" s="7" t="s">
        <v>21</v>
      </c>
      <c r="L47" s="8" t="s">
        <v>21</v>
      </c>
      <c r="M47" s="7" t="s">
        <v>21</v>
      </c>
      <c r="N47" s="7" t="s">
        <v>21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ht="15.75" customHeight="1">
      <c r="A48" s="7">
        <v>46.0</v>
      </c>
      <c r="B48" s="7" t="s">
        <v>232</v>
      </c>
      <c r="C48" s="7">
        <v>1.0</v>
      </c>
      <c r="D48" s="7" t="s">
        <v>233</v>
      </c>
      <c r="E48" s="7" t="s">
        <v>234</v>
      </c>
      <c r="F48" s="8" t="s">
        <v>235</v>
      </c>
      <c r="G48" s="7" t="s">
        <v>236</v>
      </c>
      <c r="H48" s="7" t="s">
        <v>237</v>
      </c>
      <c r="I48" s="9">
        <v>0.845</v>
      </c>
      <c r="J48" s="9">
        <f t="shared" si="2"/>
        <v>4.225</v>
      </c>
      <c r="K48" s="7" t="s">
        <v>21</v>
      </c>
      <c r="L48" s="8" t="s">
        <v>21</v>
      </c>
      <c r="M48" s="7" t="s">
        <v>21</v>
      </c>
      <c r="N48" s="7" t="s">
        <v>21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 ht="15.75" customHeight="1">
      <c r="A49" s="7">
        <v>47.0</v>
      </c>
      <c r="B49" s="7" t="s">
        <v>238</v>
      </c>
      <c r="C49" s="7">
        <v>1.0</v>
      </c>
      <c r="D49" s="7" t="s">
        <v>239</v>
      </c>
      <c r="E49" s="7" t="s">
        <v>240</v>
      </c>
      <c r="F49" s="8" t="s">
        <v>241</v>
      </c>
      <c r="G49" s="7" t="s">
        <v>242</v>
      </c>
      <c r="H49" s="7" t="s">
        <v>243</v>
      </c>
      <c r="I49" s="9">
        <v>0.655</v>
      </c>
      <c r="J49" s="9">
        <f t="shared" si="2"/>
        <v>3.275</v>
      </c>
      <c r="K49" s="7" t="s">
        <v>54</v>
      </c>
      <c r="L49" s="8" t="s">
        <v>21</v>
      </c>
      <c r="M49" s="7" t="s">
        <v>21</v>
      </c>
      <c r="N49" s="7" t="s">
        <v>21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 ht="89.25" customHeight="1">
      <c r="A50" s="7">
        <v>48.0</v>
      </c>
      <c r="B50" s="7" t="s">
        <v>21</v>
      </c>
      <c r="C50" s="7">
        <v>1.0</v>
      </c>
      <c r="D50" s="7" t="s">
        <v>118</v>
      </c>
      <c r="E50" s="7" t="s">
        <v>244</v>
      </c>
      <c r="F50" s="8" t="s">
        <v>245</v>
      </c>
      <c r="G50" s="7" t="s">
        <v>246</v>
      </c>
      <c r="H50" s="7" t="s">
        <v>247</v>
      </c>
      <c r="I50" s="9">
        <v>10.144</v>
      </c>
      <c r="J50" s="9">
        <f t="shared" si="2"/>
        <v>50.72</v>
      </c>
      <c r="K50" s="7" t="s">
        <v>54</v>
      </c>
      <c r="L50" s="11"/>
      <c r="M50" s="12" t="s">
        <v>248</v>
      </c>
      <c r="N50" s="7" t="s">
        <v>21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 ht="15.75" customHeight="1">
      <c r="A51" s="7">
        <v>49.0</v>
      </c>
      <c r="B51" s="7" t="s">
        <v>21</v>
      </c>
      <c r="C51" s="7">
        <v>1.0</v>
      </c>
      <c r="D51" s="7" t="s">
        <v>112</v>
      </c>
      <c r="E51" s="7" t="s">
        <v>249</v>
      </c>
      <c r="F51" s="8" t="s">
        <v>21</v>
      </c>
      <c r="G51" s="7" t="s">
        <v>250</v>
      </c>
      <c r="H51" s="7" t="s">
        <v>251</v>
      </c>
      <c r="I51" s="9" t="s">
        <v>21</v>
      </c>
      <c r="J51" s="9" t="s">
        <v>21</v>
      </c>
      <c r="K51" s="7" t="s">
        <v>21</v>
      </c>
      <c r="L51" s="10" t="s">
        <v>252</v>
      </c>
      <c r="M51" s="7" t="s">
        <v>21</v>
      </c>
      <c r="N51" s="7" t="s">
        <v>21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 ht="15.75" customHeight="1">
      <c r="A52" s="7">
        <v>50.0</v>
      </c>
      <c r="B52" s="7" t="s">
        <v>21</v>
      </c>
      <c r="C52" s="7">
        <v>1.0</v>
      </c>
      <c r="D52" s="7" t="s">
        <v>112</v>
      </c>
      <c r="E52" s="7" t="s">
        <v>253</v>
      </c>
      <c r="F52" s="8" t="s">
        <v>21</v>
      </c>
      <c r="G52" s="7" t="s">
        <v>254</v>
      </c>
      <c r="H52" s="7" t="s">
        <v>255</v>
      </c>
      <c r="I52" s="9" t="s">
        <v>21</v>
      </c>
      <c r="J52" s="9" t="s">
        <v>21</v>
      </c>
      <c r="K52" s="7" t="s">
        <v>21</v>
      </c>
      <c r="L52" s="10" t="s">
        <v>256</v>
      </c>
      <c r="M52" s="7" t="s">
        <v>21</v>
      </c>
      <c r="N52" s="7" t="s">
        <v>21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 ht="15.75" customHeight="1">
      <c r="A53" s="7">
        <v>51.0</v>
      </c>
      <c r="B53" s="7" t="s">
        <v>21</v>
      </c>
      <c r="C53" s="7">
        <v>4.0</v>
      </c>
      <c r="D53" s="7" t="s">
        <v>257</v>
      </c>
      <c r="E53" s="7" t="s">
        <v>258</v>
      </c>
      <c r="F53" s="8" t="s">
        <v>21</v>
      </c>
      <c r="G53" s="7" t="s">
        <v>259</v>
      </c>
      <c r="H53" s="7" t="s">
        <v>260</v>
      </c>
      <c r="I53" s="9" t="s">
        <v>21</v>
      </c>
      <c r="J53" s="9" t="s">
        <v>21</v>
      </c>
      <c r="K53" s="7" t="s">
        <v>21</v>
      </c>
      <c r="L53" s="10" t="s">
        <v>261</v>
      </c>
      <c r="M53" s="7" t="s">
        <v>21</v>
      </c>
      <c r="N53" s="7" t="s">
        <v>21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7" t="s">
        <v>262</v>
      </c>
      <c r="J54" s="13">
        <f>SUM(J3:J53)</f>
        <v>261.73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7" t="s">
        <v>263</v>
      </c>
      <c r="J55" s="13">
        <v>29.0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7" t="s">
        <v>264</v>
      </c>
      <c r="J56" s="13">
        <v>27.47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7" t="s">
        <v>265</v>
      </c>
      <c r="J57" s="13">
        <f>-0.01*SUM(J55:J56)</f>
        <v>-0.5647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7" t="s">
        <v>266</v>
      </c>
      <c r="J58" s="13">
        <f>SUM(J54:J57)</f>
        <v>317.6353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 ht="15.75" customHeight="1">
      <c r="A59" s="4" t="s">
        <v>21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14">
        <f>SUM(I3:I50)</f>
        <v>51.063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</row>
  </sheetData>
  <mergeCells count="1">
    <mergeCell ref="A1:N1"/>
  </mergeCells>
  <printOptions/>
  <pageMargins bottom="0.75" footer="0.0" header="0.0" left="0.7" right="0.7" top="0.75"/>
  <pageSetup orientation="landscape"/>
  <drawing r:id="rId1"/>
</worksheet>
</file>